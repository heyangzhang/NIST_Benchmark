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intensity_absorption/"/>
    </mc:Choice>
  </mc:AlternateContent>
  <xr:revisionPtr revIDLastSave="31" documentId="8_{BB782806-AB27-AF41-B8FD-39F2915832F4}" xr6:coauthVersionLast="47" xr6:coauthVersionMax="47" xr10:uidLastSave="{95D07B4C-3463-2744-9C91-256F04A64CC9}"/>
  <bookViews>
    <workbookView xWindow="1580" yWindow="1220" windowWidth="24960" windowHeight="18360" activeTab="1" xr2:uid="{762AD7E3-8715-3744-9DDF-49307D90A761}"/>
  </bookViews>
  <sheets>
    <sheet name="alpha_385f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H3" i="2"/>
  <c r="H4" i="2"/>
  <c r="H5" i="2"/>
  <c r="H6" i="2"/>
  <c r="H7" i="2"/>
  <c r="H2" i="2"/>
  <c r="E3" i="2"/>
  <c r="E4" i="2"/>
  <c r="E5" i="2"/>
  <c r="E6" i="2"/>
  <c r="E7" i="2"/>
  <c r="E2" i="2"/>
  <c r="D7" i="2"/>
  <c r="D6" i="2"/>
  <c r="D5" i="2"/>
  <c r="D3" i="2"/>
  <c r="D2" i="2"/>
  <c r="D4" i="1"/>
  <c r="D5" i="1"/>
  <c r="D6" i="1"/>
  <c r="D7" i="1"/>
  <c r="D3" i="1"/>
  <c r="D2" i="1"/>
</calcChain>
</file>

<file path=xl/sharedStrings.xml><?xml version="1.0" encoding="utf-8"?>
<sst xmlns="http://schemas.openxmlformats.org/spreadsheetml/2006/main" count="23" uniqueCount="13">
  <si>
    <t>Resin</t>
  </si>
  <si>
    <t>AvgAbsorbance</t>
  </si>
  <si>
    <t>AlphaEff_cm_inv</t>
  </si>
  <si>
    <t>Resin 1</t>
  </si>
  <si>
    <t>Resin 2</t>
  </si>
  <si>
    <t>Resin 3</t>
  </si>
  <si>
    <t>Resin 4</t>
  </si>
  <si>
    <t>Resin 5</t>
  </si>
  <si>
    <t>Resin 6</t>
  </si>
  <si>
    <t>f_ratio</t>
  </si>
  <si>
    <t>k1_d</t>
  </si>
  <si>
    <t>k2_d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</si>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</sst>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(Sheet1!$E$2,Sheet1!$H$2,Sheet1!$I$2)</c:f>
              <c:numCache>
                <c:formatCode>General</c:formatCode>
                <c:ptCount val="3"/>
                <c:pt idx="0">
                  <c:v>-1.1268952036755089</c:v>
                </c:pt>
                <c:pt idx="1">
                  <c:v>-3.9025689524998448</c:v>
                </c:pt>
                <c:pt idx="2">
                  <c:v>0.5055355300066674</c:v>
                </c:pt>
              </c:numCache>
            </c:numRef>
          </c:xVal>
          <c:yVal>
            <c:numRef>
              <c:f>(Sheet1!$E$4,Sheet1!$H$4,Sheet1!$I$4)</c:f>
              <c:numCache>
                <c:formatCode>General</c:formatCode>
                <c:ptCount val="3"/>
                <c:pt idx="0">
                  <c:v>0</c:v>
                </c:pt>
                <c:pt idx="1">
                  <c:v>-13.643722394434837</c:v>
                </c:pt>
                <c:pt idx="2">
                  <c:v>0.62817783404065786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B-9C45-BC2F-4A6CBEF69DAF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(Sheet1!$E$2,Sheet1!$H$2,Sheet1!$I$2)</c:f>
              <c:numCache>
                <c:formatCode>General</c:formatCode>
                <c:ptCount val="3"/>
                <c:pt idx="0">
                  <c:v>-1.1268952036755089</c:v>
                </c:pt>
                <c:pt idx="1">
                  <c:v>-3.9025689524998448</c:v>
                </c:pt>
                <c:pt idx="2">
                  <c:v>0.5055355300066674</c:v>
                </c:pt>
              </c:numCache>
            </c:numRef>
          </c:xVal>
          <c:yVal>
            <c:numRef>
              <c:f>(Sheet1!$E$6,Sheet1!$H$6,Sheet1!$I$6)</c:f>
              <c:numCache>
                <c:formatCode>General</c:formatCode>
                <c:ptCount val="3"/>
                <c:pt idx="0">
                  <c:v>0</c:v>
                </c:pt>
                <c:pt idx="1">
                  <c:v>-1.9112121114376173</c:v>
                </c:pt>
                <c:pt idx="2">
                  <c:v>0.15540680710367005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B-9C45-BC2F-4A6CBEF6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367920"/>
        <c:axId val="1995015760"/>
      </c:scatterChart>
      <c:valAx>
        <c:axId val="195836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15760"/>
        <c:crosses val="autoZero"/>
        <c:crossBetween val="midCat"/>
      </c:valAx>
      <c:valAx>
        <c:axId val="19950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6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(Sheet1!$E$3,Sheet1!$H$3,Sheet1!$I$3)</c:f>
              <c:numCache>
                <c:formatCode>General</c:formatCode>
                <c:ptCount val="3"/>
                <c:pt idx="0">
                  <c:v>-1.9053396252638186</c:v>
                </c:pt>
                <c:pt idx="1">
                  <c:v>-1.1548701751396022</c:v>
                </c:pt>
                <c:pt idx="2">
                  <c:v>-11.67387759576043</c:v>
                </c:pt>
              </c:numCache>
            </c:numRef>
          </c:xVal>
          <c:yVal>
            <c:numRef>
              <c:f>(Sheet1!$E$5,Sheet1!$H$5,Sheet1!$I$5)</c:f>
              <c:numCache>
                <c:formatCode>General</c:formatCode>
                <c:ptCount val="3"/>
                <c:pt idx="0">
                  <c:v>-1.5437962028026164</c:v>
                </c:pt>
                <c:pt idx="1">
                  <c:v>-1.1337589839784699</c:v>
                </c:pt>
                <c:pt idx="2">
                  <c:v>-9.9965759637840712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8-6B45-86AB-CECBDB19116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(Sheet1!$E$3,Sheet1!$H$3,Sheet1!$I$3)</c:f>
              <c:numCache>
                <c:formatCode>General</c:formatCode>
                <c:ptCount val="3"/>
                <c:pt idx="0">
                  <c:v>-1.9053396252638186</c:v>
                </c:pt>
                <c:pt idx="1">
                  <c:v>-1.1548701751396022</c:v>
                </c:pt>
                <c:pt idx="2">
                  <c:v>-11.67387759576043</c:v>
                </c:pt>
              </c:numCache>
            </c:numRef>
          </c:xVal>
          <c:yVal>
            <c:numRef>
              <c:f>(Sheet1!$E$7,Sheet1!$H$7,Sheet1!$I$7)</c:f>
              <c:numCache>
                <c:formatCode>General</c:formatCode>
                <c:ptCount val="3"/>
                <c:pt idx="0">
                  <c:v>0</c:v>
                </c:pt>
                <c:pt idx="1">
                  <c:v>-1.0543162251032629</c:v>
                </c:pt>
                <c:pt idx="2">
                  <c:v>-10.483882450567739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8-6B45-86AB-CECBDB191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398656"/>
        <c:axId val="1957774496"/>
      </c:scatterChart>
      <c:valAx>
        <c:axId val="195839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74496"/>
        <c:crosses val="autoZero"/>
        <c:crossBetween val="midCat"/>
      </c:valAx>
      <c:valAx>
        <c:axId val="19577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17</xdr:row>
      <xdr:rowOff>25400</xdr:rowOff>
    </xdr:from>
    <xdr:to>
      <xdr:col>15</xdr:col>
      <xdr:colOff>165100</xdr:colOff>
      <xdr:row>39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C864F6-C920-382B-01BE-6B3E81EB0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95250</xdr:colOff>
      <xdr:row>8</xdr:row>
      <xdr:rowOff>0</xdr:rowOff>
    </xdr:from>
    <xdr:to>
      <xdr:col>24</xdr:col>
      <xdr:colOff>533400</xdr:colOff>
      <xdr:row>33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1A20DB-0C84-2DAF-2A5D-B1A0AB51D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E8EA-0A79-334F-B59C-99046D8ECAB2}">
  <dimension ref="A1:D7"/>
  <sheetViews>
    <sheetView workbookViewId="0">
      <selection activeCell="E14" sqref="A1:E14"/>
    </sheetView>
  </sheetViews>
  <sheetFormatPr baseColWidth="10" defaultRowHeight="16" x14ac:dyDescent="0.2"/>
  <cols>
    <col min="2" max="2" width="13.33203125" bestFit="1" customWidth="1"/>
    <col min="3" max="3" width="14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x14ac:dyDescent="0.2">
      <c r="A2" t="s">
        <v>3</v>
      </c>
      <c r="B2">
        <v>84.327915681790401</v>
      </c>
      <c r="C2">
        <v>194.17220157214899</v>
      </c>
      <c r="D2">
        <f>$C$6/C2</f>
        <v>7.4662890006112162E-2</v>
      </c>
    </row>
    <row r="3" spans="1:4" x14ac:dyDescent="0.2">
      <c r="A3" t="s">
        <v>4</v>
      </c>
      <c r="B3">
        <v>89.371642391625997</v>
      </c>
      <c r="C3">
        <v>205.785811507353</v>
      </c>
      <c r="D3">
        <f>$C$7/C3</f>
        <v>1.2435417617877764E-2</v>
      </c>
    </row>
    <row r="4" spans="1:4" x14ac:dyDescent="0.2">
      <c r="A4" t="s">
        <v>5</v>
      </c>
      <c r="B4">
        <v>37.207731177186098</v>
      </c>
      <c r="C4">
        <v>85.673967152718504</v>
      </c>
      <c r="D4">
        <f t="shared" ref="D4" si="0">$C$6/C4</f>
        <v>0.16921660347983528</v>
      </c>
    </row>
    <row r="5" spans="1:4" x14ac:dyDescent="0.2">
      <c r="A5" t="s">
        <v>6</v>
      </c>
      <c r="B5">
        <v>38.873739192770003</v>
      </c>
      <c r="C5">
        <v>89.510092374210501</v>
      </c>
      <c r="D5">
        <f t="shared" ref="D5" si="1">$C$7/C5</f>
        <v>2.8589318121015752E-2</v>
      </c>
    </row>
    <row r="6" spans="1:4" x14ac:dyDescent="0.2">
      <c r="A6" t="s">
        <v>7</v>
      </c>
      <c r="B6">
        <v>6.2961658929942104</v>
      </c>
      <c r="C6">
        <v>14.497457728225999</v>
      </c>
      <c r="D6">
        <f t="shared" ref="D6" si="2">$C$6/C6</f>
        <v>1</v>
      </c>
    </row>
    <row r="7" spans="1:4" x14ac:dyDescent="0.2">
      <c r="A7" t="s">
        <v>8</v>
      </c>
      <c r="B7">
        <v>1.1113736963355001</v>
      </c>
      <c r="C7">
        <v>2.5590325059278101</v>
      </c>
      <c r="D7">
        <f t="shared" ref="D7" si="3">$C$7/C7</f>
        <v>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2462-A456-F844-BDA4-A320F424A750}">
  <dimension ref="A1:I7"/>
  <sheetViews>
    <sheetView tabSelected="1" topLeftCell="I15" zoomScale="134" workbookViewId="0">
      <selection activeCell="G12" sqref="G1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9</v>
      </c>
      <c r="F1" t="s">
        <v>10</v>
      </c>
      <c r="G1" t="s">
        <v>11</v>
      </c>
    </row>
    <row r="2" spans="1:9" x14ac:dyDescent="0.2">
      <c r="A2" t="s">
        <v>3</v>
      </c>
      <c r="B2">
        <v>84.327915681790401</v>
      </c>
      <c r="C2">
        <v>194.17220157214899</v>
      </c>
      <c r="D2">
        <f>$C$6/C2</f>
        <v>7.4662890006112162E-2</v>
      </c>
      <c r="E2">
        <f>LOG(D2)</f>
        <v>-1.1268952036755089</v>
      </c>
      <c r="F2">
        <v>1.2515005577673428E-4</v>
      </c>
      <c r="G2">
        <v>3.2028421111904128</v>
      </c>
      <c r="H2">
        <f>LOG(F2)</f>
        <v>-3.9025689524998448</v>
      </c>
      <c r="I2">
        <f>LOG(G2)</f>
        <v>0.5055355300066674</v>
      </c>
    </row>
    <row r="3" spans="1:9" x14ac:dyDescent="0.2">
      <c r="A3" t="s">
        <v>4</v>
      </c>
      <c r="B3">
        <v>89.371642391625997</v>
      </c>
      <c r="C3">
        <v>205.785811507353</v>
      </c>
      <c r="D3">
        <f>$C$7/C3</f>
        <v>1.2435417617877764E-2</v>
      </c>
      <c r="E3">
        <f t="shared" ref="E3:E7" si="0">LOG(D3)</f>
        <v>-1.9053396252638186</v>
      </c>
      <c r="F3">
        <v>7.0005123299381466E-2</v>
      </c>
      <c r="G3">
        <v>2.1189582713830408E-12</v>
      </c>
      <c r="H3">
        <f t="shared" ref="H3:I7" si="1">LOG(F3)</f>
        <v>-1.1548701751396022</v>
      </c>
      <c r="I3">
        <f t="shared" si="1"/>
        <v>-11.67387759576043</v>
      </c>
    </row>
    <row r="4" spans="1:9" x14ac:dyDescent="0.2">
      <c r="A4" t="s">
        <v>5</v>
      </c>
      <c r="B4">
        <v>37.207731177186098</v>
      </c>
      <c r="C4">
        <v>85.673967152718504</v>
      </c>
      <c r="D4" t="s">
        <v>12</v>
      </c>
      <c r="E4" t="e">
        <f t="shared" si="0"/>
        <v>#VALUE!</v>
      </c>
      <c r="F4">
        <v>2.2713162370064723E-14</v>
      </c>
      <c r="G4">
        <v>4.2479347192412522</v>
      </c>
      <c r="H4">
        <f t="shared" si="1"/>
        <v>-13.643722394434837</v>
      </c>
      <c r="I4">
        <f t="shared" si="1"/>
        <v>0.62817783404065786</v>
      </c>
    </row>
    <row r="5" spans="1:9" x14ac:dyDescent="0.2">
      <c r="A5" t="s">
        <v>6</v>
      </c>
      <c r="B5">
        <v>38.873739192770003</v>
      </c>
      <c r="C5">
        <v>89.510092374210501</v>
      </c>
      <c r="D5">
        <f t="shared" ref="D5" si="2">$C$7/C5</f>
        <v>2.8589318121015752E-2</v>
      </c>
      <c r="E5">
        <f t="shared" si="0"/>
        <v>-1.5437962028026164</v>
      </c>
      <c r="F5">
        <v>7.3492160702761905E-2</v>
      </c>
      <c r="G5">
        <v>1.0079152963793671E-10</v>
      </c>
      <c r="H5">
        <f t="shared" si="1"/>
        <v>-1.1337589839784699</v>
      </c>
      <c r="I5">
        <f t="shared" si="1"/>
        <v>-9.9965759637840712</v>
      </c>
    </row>
    <row r="6" spans="1:9" x14ac:dyDescent="0.2">
      <c r="A6" t="s">
        <v>7</v>
      </c>
      <c r="B6">
        <v>6.2961658929942104</v>
      </c>
      <c r="C6">
        <v>14.497457728225999</v>
      </c>
      <c r="D6">
        <f t="shared" ref="D6" si="3">$C$6/C6</f>
        <v>1</v>
      </c>
      <c r="E6">
        <f t="shared" si="0"/>
        <v>0</v>
      </c>
      <c r="F6">
        <v>1.2268398905218601E-2</v>
      </c>
      <c r="G6">
        <v>1.4302330419412406</v>
      </c>
      <c r="H6">
        <f t="shared" si="1"/>
        <v>-1.9112121114376173</v>
      </c>
      <c r="I6">
        <f t="shared" si="1"/>
        <v>0.15540680710367005</v>
      </c>
    </row>
    <row r="7" spans="1:9" x14ac:dyDescent="0.2">
      <c r="A7" t="s">
        <v>8</v>
      </c>
      <c r="B7">
        <v>1.1113736963355001</v>
      </c>
      <c r="C7">
        <v>2.5590325059278101</v>
      </c>
      <c r="D7">
        <f t="shared" ref="D7" si="4">$C$7/C7</f>
        <v>1</v>
      </c>
      <c r="E7">
        <f t="shared" si="0"/>
        <v>0</v>
      </c>
      <c r="F7">
        <v>8.82437132890114E-2</v>
      </c>
      <c r="G7">
        <v>3.2818410988833853E-11</v>
      </c>
      <c r="H7">
        <f t="shared" si="1"/>
        <v>-1.0543162251032629</v>
      </c>
      <c r="I7">
        <f t="shared" si="1"/>
        <v>-10.483882450567739</v>
      </c>
    </row>
  </sheetData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alpha_385f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Heyang</cp:lastModifiedBy>
  <dcterms:created xsi:type="dcterms:W3CDTF">2025-07-15T00:42:03Z</dcterms:created>
  <dcterms:modified xsi:type="dcterms:W3CDTF">2025-07-15T14:29:35Z</dcterms:modified>
</cp:coreProperties>
</file>